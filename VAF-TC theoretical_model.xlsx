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ut\OneDrive\デスクトップ\"/>
    </mc:Choice>
  </mc:AlternateContent>
  <xr:revisionPtr revIDLastSave="0" documentId="13_ncr:1_{CBEC0617-4544-42A1-A266-F0DFED7781BC}" xr6:coauthVersionLast="47" xr6:coauthVersionMax="47" xr10:uidLastSave="{00000000-0000-0000-0000-000000000000}"/>
  <bookViews>
    <workbookView xWindow="-110" yWindow="-110" windowWidth="19420" windowHeight="11500" xr2:uid="{8DA8DFB9-F071-4497-90FC-8DA83B5DD1B0}"/>
  </bookViews>
  <sheets>
    <sheet name="VAF-TC gra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</calcChain>
</file>

<file path=xl/sharedStrings.xml><?xml version="1.0" encoding="utf-8"?>
<sst xmlns="http://schemas.openxmlformats.org/spreadsheetml/2006/main" count="11" uniqueCount="11">
  <si>
    <t>tumort content (%)</t>
    <phoneticPr fontId="1"/>
  </si>
  <si>
    <t>germline (cnLOH)</t>
    <phoneticPr fontId="1"/>
  </si>
  <si>
    <t>germline (LOH with Del)</t>
    <phoneticPr fontId="0"/>
  </si>
  <si>
    <t>germline (Hetero)</t>
    <phoneticPr fontId="0"/>
  </si>
  <si>
    <t>somatic LOH 4 copies</t>
    <phoneticPr fontId="1"/>
  </si>
  <si>
    <t>somatic LOH 3 copies</t>
    <phoneticPr fontId="1"/>
  </si>
  <si>
    <t>somatic (LOH with Del)</t>
    <phoneticPr fontId="0"/>
  </si>
  <si>
    <t>somatic (Hetero)</t>
    <phoneticPr fontId="0"/>
  </si>
  <si>
    <t>germline variants</t>
    <phoneticPr fontId="1"/>
  </si>
  <si>
    <t>somatic variants</t>
    <phoneticPr fontId="1"/>
  </si>
  <si>
    <t>somatic (cnLOH)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</si>
</sst>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176" fontId="0" fillId="0" borderId="7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7" fontId="0" fillId="0" borderId="7" xfId="0" applyNumberFormat="1" applyBorder="1">
      <alignment vertical="center"/>
    </xf>
    <xf numFmtId="177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177" fontId="0" fillId="0" borderId="6" xfId="0" applyNumberFormat="1" applyBorder="1">
      <alignment vertical="center"/>
    </xf>
    <xf numFmtId="177" fontId="0" fillId="0" borderId="10" xfId="0" applyNumberFormat="1" applyBorder="1">
      <alignment vertical="center"/>
    </xf>
    <xf numFmtId="177" fontId="0" fillId="0" borderId="1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12" xfId="0" applyBorder="1">
      <alignment vertical="center"/>
    </xf>
    <xf numFmtId="177" fontId="0" fillId="0" borderId="12" xfId="0" applyNumberFormat="1" applyBorder="1">
      <alignment vertical="center"/>
    </xf>
    <xf numFmtId="177" fontId="0" fillId="0" borderId="13" xfId="0" applyNumberFormat="1" applyBorder="1">
      <alignment vertical="center"/>
    </xf>
    <xf numFmtId="177" fontId="0" fillId="0" borderId="14" xfId="0" applyNumberFormat="1" applyBorder="1">
      <alignment vertical="center"/>
    </xf>
    <xf numFmtId="177" fontId="0" fillId="0" borderId="15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'VAF-TC graph'!$B$2</c:f>
              <c:strCache>
                <c:ptCount val="1"/>
                <c:pt idx="0">
                  <c:v>germline (cnLOH)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graph'!$B$3:$B$13</c:f>
              <c:numCache>
                <c:formatCode>0_ </c:formatCode>
                <c:ptCount val="11"/>
                <c:pt idx="0">
                  <c:v>50</c:v>
                </c:pt>
                <c:pt idx="1">
                  <c:v>55.000000000000007</c:v>
                </c:pt>
                <c:pt idx="2">
                  <c:v>60</c:v>
                </c:pt>
                <c:pt idx="3">
                  <c:v>65</c:v>
                </c:pt>
                <c:pt idx="4">
                  <c:v>70</c:v>
                </c:pt>
                <c:pt idx="5">
                  <c:v>75</c:v>
                </c:pt>
                <c:pt idx="6">
                  <c:v>80</c:v>
                </c:pt>
                <c:pt idx="7">
                  <c:v>85</c:v>
                </c:pt>
                <c:pt idx="8">
                  <c:v>90</c:v>
                </c:pt>
                <c:pt idx="9">
                  <c:v>95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1-4FEA-90DE-0434277590F7}"/>
            </c:ext>
          </c:extLst>
        </c:ser>
        <c:ser>
          <c:idx val="1"/>
          <c:order val="1"/>
          <c:tx>
            <c:strRef>
              <c:f>'VAF-TC graph'!$C$2</c:f>
              <c:strCache>
                <c:ptCount val="1"/>
                <c:pt idx="0">
                  <c:v>germline (LOH with Del)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graph'!$C$3:$C$13</c:f>
              <c:numCache>
                <c:formatCode>0_ </c:formatCode>
                <c:ptCount val="11"/>
                <c:pt idx="0">
                  <c:v>50</c:v>
                </c:pt>
                <c:pt idx="1">
                  <c:v>52.631578947368418</c:v>
                </c:pt>
                <c:pt idx="2">
                  <c:v>55.555555555555557</c:v>
                </c:pt>
                <c:pt idx="3">
                  <c:v>58.82352941176471</c:v>
                </c:pt>
                <c:pt idx="4">
                  <c:v>62.5</c:v>
                </c:pt>
                <c:pt idx="5">
                  <c:v>66.666666666666657</c:v>
                </c:pt>
                <c:pt idx="6">
                  <c:v>71.428571428571431</c:v>
                </c:pt>
                <c:pt idx="7">
                  <c:v>76.923076923076934</c:v>
                </c:pt>
                <c:pt idx="8">
                  <c:v>83.333333333333343</c:v>
                </c:pt>
                <c:pt idx="9">
                  <c:v>90.909090909090907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1-4FEA-90DE-0434277590F7}"/>
            </c:ext>
          </c:extLst>
        </c:ser>
        <c:ser>
          <c:idx val="2"/>
          <c:order val="2"/>
          <c:tx>
            <c:strRef>
              <c:f>'VAF-TC graph'!$D$2</c:f>
              <c:strCache>
                <c:ptCount val="1"/>
                <c:pt idx="0">
                  <c:v>germline (Hetero)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graph'!$D$3:$D$13</c:f>
              <c:numCache>
                <c:formatCode>0_ </c:formatCode>
                <c:ptCount val="1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1-4FEA-90DE-0434277590F7}"/>
            </c:ext>
          </c:extLst>
        </c:ser>
        <c:ser>
          <c:idx val="3"/>
          <c:order val="3"/>
          <c:tx>
            <c:strRef>
              <c:f>'VAF-TC graph'!$E$2</c:f>
              <c:strCache>
                <c:ptCount val="1"/>
                <c:pt idx="0">
                  <c:v>somatic LOH 4 copies</c:v>
                </c:pt>
              </c:strCache>
            </c:strRef>
          </c:tx>
          <c:spPr>
            <a:ln w="12700" cap="rnd">
              <a:solidFill>
                <a:schemeClr val="accent5">
                  <a:lumMod val="20000"/>
                  <a:lumOff val="8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graph'!$E$3:$E$13</c:f>
              <c:numCache>
                <c:formatCode>0_ </c:formatCode>
                <c:ptCount val="11"/>
                <c:pt idx="0" formatCode="General">
                  <c:v>0</c:v>
                </c:pt>
                <c:pt idx="1">
                  <c:v>18.181818181818183</c:v>
                </c:pt>
                <c:pt idx="2">
                  <c:v>33.333333333333329</c:v>
                </c:pt>
                <c:pt idx="3">
                  <c:v>46.153846153846153</c:v>
                </c:pt>
                <c:pt idx="4">
                  <c:v>57.142857142857139</c:v>
                </c:pt>
                <c:pt idx="5">
                  <c:v>66.666666666666657</c:v>
                </c:pt>
                <c:pt idx="6">
                  <c:v>75</c:v>
                </c:pt>
                <c:pt idx="7">
                  <c:v>82.35294117647058</c:v>
                </c:pt>
                <c:pt idx="8">
                  <c:v>88.888888888888886</c:v>
                </c:pt>
                <c:pt idx="9">
                  <c:v>94.73684210526315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11-4FEA-90DE-0434277590F7}"/>
            </c:ext>
          </c:extLst>
        </c:ser>
        <c:ser>
          <c:idx val="4"/>
          <c:order val="4"/>
          <c:tx>
            <c:strRef>
              <c:f>'VAF-TC graph'!$F$2</c:f>
              <c:strCache>
                <c:ptCount val="1"/>
                <c:pt idx="0">
                  <c:v>somatic LOH 3 copies</c:v>
                </c:pt>
              </c:strCache>
            </c:strRef>
          </c:tx>
          <c:spPr>
            <a:ln w="127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graph'!$F$3:$F$13</c:f>
              <c:numCache>
                <c:formatCode>0_ </c:formatCode>
                <c:ptCount val="11"/>
                <c:pt idx="0">
                  <c:v>0</c:v>
                </c:pt>
                <c:pt idx="1">
                  <c:v>14.285714285714285</c:v>
                </c:pt>
                <c:pt idx="2">
                  <c:v>27.27272727272727</c:v>
                </c:pt>
                <c:pt idx="3">
                  <c:v>39.130434782608695</c:v>
                </c:pt>
                <c:pt idx="4">
                  <c:v>50</c:v>
                </c:pt>
                <c:pt idx="5">
                  <c:v>60</c:v>
                </c:pt>
                <c:pt idx="6">
                  <c:v>69.230769230769226</c:v>
                </c:pt>
                <c:pt idx="7">
                  <c:v>77.777777777777786</c:v>
                </c:pt>
                <c:pt idx="8">
                  <c:v>85.714285714285708</c:v>
                </c:pt>
                <c:pt idx="9">
                  <c:v>93.103448275862064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11-4FEA-90DE-0434277590F7}"/>
            </c:ext>
          </c:extLst>
        </c:ser>
        <c:ser>
          <c:idx val="5"/>
          <c:order val="5"/>
          <c:tx>
            <c:strRef>
              <c:f>'VAF-TC graph'!$G$2</c:f>
              <c:strCache>
                <c:ptCount val="1"/>
                <c:pt idx="0">
                  <c:v>somatic (cnLOH)</c:v>
                </c:pt>
              </c:strCache>
            </c:strRef>
          </c:tx>
          <c:spPr>
            <a:ln w="127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graph'!$G$3:$G$13</c:f>
              <c:numCache>
                <c:formatCode>0_ 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11-4FEA-90DE-0434277590F7}"/>
            </c:ext>
          </c:extLst>
        </c:ser>
        <c:ser>
          <c:idx val="6"/>
          <c:order val="6"/>
          <c:tx>
            <c:strRef>
              <c:f>'VAF-TC graph'!$H$2</c:f>
              <c:strCache>
                <c:ptCount val="1"/>
                <c:pt idx="0">
                  <c:v>somatic (LOH with Del)</c:v>
                </c:pt>
              </c:strCache>
            </c:strRef>
          </c:tx>
          <c:spPr>
            <a:ln w="1270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graph'!$H$3:$H$13</c:f>
              <c:numCache>
                <c:formatCode>0_ </c:formatCode>
                <c:ptCount val="11"/>
                <c:pt idx="0">
                  <c:v>0</c:v>
                </c:pt>
                <c:pt idx="1">
                  <c:v>5.2631578947368416</c:v>
                </c:pt>
                <c:pt idx="2">
                  <c:v>11.111111111111111</c:v>
                </c:pt>
                <c:pt idx="3">
                  <c:v>17.647058823529413</c:v>
                </c:pt>
                <c:pt idx="4">
                  <c:v>25</c:v>
                </c:pt>
                <c:pt idx="5">
                  <c:v>33.333333333333329</c:v>
                </c:pt>
                <c:pt idx="6">
                  <c:v>42.857142857142854</c:v>
                </c:pt>
                <c:pt idx="7">
                  <c:v>53.846153846153847</c:v>
                </c:pt>
                <c:pt idx="8">
                  <c:v>66.666666666666657</c:v>
                </c:pt>
                <c:pt idx="9">
                  <c:v>81.818181818181827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11-4FEA-90DE-0434277590F7}"/>
            </c:ext>
          </c:extLst>
        </c:ser>
        <c:ser>
          <c:idx val="7"/>
          <c:order val="7"/>
          <c:tx>
            <c:strRef>
              <c:f>'VAF-TC graph'!$I$2</c:f>
              <c:strCache>
                <c:ptCount val="1"/>
                <c:pt idx="0">
                  <c:v>somatic (Hetero)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'VAF-TC graph'!$A$3:$A$13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'VAF-TC graph'!$I$3:$I$13</c:f>
              <c:numCache>
                <c:formatCode>0_ 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11-4FEA-90DE-043427759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715712"/>
        <c:axId val="1133716192"/>
      </c:lineChart>
      <c:catAx>
        <c:axId val="113371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kumimoji="1" lang="en-US" altLang="ja-JP" sz="1000" dirty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Tumor content (pathological diagnosis, %)</a:t>
                </a:r>
                <a:endParaRPr kumimoji="1" lang="ja-JP" altLang="en-US" sz="1000" dirty="0"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>
            <c:manualLayout>
              <c:xMode val="edge"/>
              <c:yMode val="edge"/>
              <c:x val="0.39400122002593241"/>
              <c:y val="0.853352615508850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716192"/>
        <c:crosses val="autoZero"/>
        <c:auto val="1"/>
        <c:lblAlgn val="ctr"/>
        <c:lblOffset val="100"/>
        <c:noMultiLvlLbl val="0"/>
      </c:catAx>
      <c:valAx>
        <c:axId val="11337161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Variant allele frequency (%)</a:t>
                </a:r>
              </a:p>
            </c:rich>
          </c:tx>
          <c:layout>
            <c:manualLayout>
              <c:xMode val="edge"/>
              <c:yMode val="edge"/>
              <c:x val="1.2159227061597631E-2"/>
              <c:y val="0.279341793285781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37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520347</xdr:colOff>
      <xdr:row>1</xdr:row>
      <xdr:rowOff>493890</xdr:rowOff>
    </xdr:from>
    <xdr:to>
      <xdr:col>16</xdr:col>
      <xdr:colOff>105833</xdr:colOff>
      <xdr:row>23</xdr:row>
      <xdr:rowOff>70556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DB3374-1D94-ABF2-6AEF-4588A494F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3B85-DD9C-4320-8E7F-73AFB88821D9}">
  <dimension ref="A1:I13"/>
  <sheetViews>
    <sheetView tabSelected="1" zoomScale="72" zoomScaleNormal="72" workbookViewId="0">
      <selection activeCell="G4" sqref="G4"/>
    </sheetView>
  </sheetViews>
  <sheetFormatPr defaultRowHeight="18" x14ac:dyDescent="0.55000000000000004"/>
  <cols>
    <col min="1" max="1" width="11" customWidth="1"/>
    <col min="2" max="9" width="13.5" customWidth="1"/>
  </cols>
  <sheetData>
    <row r="1" spans="1:9" ht="22" customHeight="1" x14ac:dyDescent="0.55000000000000004">
      <c r="A1" s="17" t="s">
        <v>0</v>
      </c>
      <c r="B1" s="19" t="s">
        <v>8</v>
      </c>
      <c r="C1" s="20"/>
      <c r="D1" s="21"/>
      <c r="E1" s="22" t="s">
        <v>9</v>
      </c>
      <c r="F1" s="22"/>
      <c r="G1" s="22"/>
      <c r="H1" s="22"/>
      <c r="I1" s="22"/>
    </row>
    <row r="2" spans="1:9" ht="52.5" customHeight="1" x14ac:dyDescent="0.55000000000000004">
      <c r="A2" s="18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10</v>
      </c>
      <c r="H2" s="1" t="s">
        <v>6</v>
      </c>
      <c r="I2" s="1" t="s">
        <v>7</v>
      </c>
    </row>
    <row r="3" spans="1:9" x14ac:dyDescent="0.55000000000000004">
      <c r="A3" s="2">
        <v>0</v>
      </c>
      <c r="B3" s="3">
        <v>50</v>
      </c>
      <c r="C3" s="4">
        <v>50</v>
      </c>
      <c r="D3" s="5">
        <v>50</v>
      </c>
      <c r="E3" s="6">
        <v>0</v>
      </c>
      <c r="F3" s="3">
        <v>0</v>
      </c>
      <c r="G3" s="4">
        <v>0</v>
      </c>
      <c r="H3" s="5">
        <v>0</v>
      </c>
      <c r="I3" s="5">
        <v>0</v>
      </c>
    </row>
    <row r="4" spans="1:9" x14ac:dyDescent="0.55000000000000004">
      <c r="A4" s="7">
        <v>10</v>
      </c>
      <c r="B4" s="8">
        <v>55.000000000000007</v>
      </c>
      <c r="C4" s="9">
        <v>52.631578947368418</v>
      </c>
      <c r="D4" s="10">
        <v>50</v>
      </c>
      <c r="E4" s="11">
        <v>18.181818181818183</v>
      </c>
      <c r="F4" s="8">
        <v>14.285714285714285</v>
      </c>
      <c r="G4" s="9">
        <f>G3+10</f>
        <v>10</v>
      </c>
      <c r="H4" s="10">
        <v>5.2631578947368416</v>
      </c>
      <c r="I4" s="10">
        <v>5</v>
      </c>
    </row>
    <row r="5" spans="1:9" x14ac:dyDescent="0.55000000000000004">
      <c r="A5" s="7">
        <v>20</v>
      </c>
      <c r="B5" s="8">
        <v>60</v>
      </c>
      <c r="C5" s="9">
        <v>55.555555555555557</v>
      </c>
      <c r="D5" s="10">
        <v>50</v>
      </c>
      <c r="E5" s="11">
        <v>33.333333333333329</v>
      </c>
      <c r="F5" s="8">
        <v>27.27272727272727</v>
      </c>
      <c r="G5" s="9">
        <f t="shared" ref="G5:G13" si="0">G4+10</f>
        <v>20</v>
      </c>
      <c r="H5" s="10">
        <v>11.111111111111111</v>
      </c>
      <c r="I5" s="10">
        <v>10</v>
      </c>
    </row>
    <row r="6" spans="1:9" x14ac:dyDescent="0.55000000000000004">
      <c r="A6" s="7">
        <v>30</v>
      </c>
      <c r="B6" s="8">
        <v>65</v>
      </c>
      <c r="C6" s="9">
        <v>58.82352941176471</v>
      </c>
      <c r="D6" s="10">
        <v>50</v>
      </c>
      <c r="E6" s="11">
        <v>46.153846153846153</v>
      </c>
      <c r="F6" s="8">
        <v>39.130434782608695</v>
      </c>
      <c r="G6" s="9">
        <f t="shared" si="0"/>
        <v>30</v>
      </c>
      <c r="H6" s="10">
        <v>17.647058823529413</v>
      </c>
      <c r="I6" s="10">
        <v>15</v>
      </c>
    </row>
    <row r="7" spans="1:9" x14ac:dyDescent="0.55000000000000004">
      <c r="A7" s="7">
        <v>40</v>
      </c>
      <c r="B7" s="8">
        <v>70</v>
      </c>
      <c r="C7" s="9">
        <v>62.5</v>
      </c>
      <c r="D7" s="10">
        <v>50</v>
      </c>
      <c r="E7" s="11">
        <v>57.142857142857139</v>
      </c>
      <c r="F7" s="8">
        <v>50</v>
      </c>
      <c r="G7" s="9">
        <f t="shared" si="0"/>
        <v>40</v>
      </c>
      <c r="H7" s="10">
        <v>25</v>
      </c>
      <c r="I7" s="10">
        <v>20</v>
      </c>
    </row>
    <row r="8" spans="1:9" x14ac:dyDescent="0.55000000000000004">
      <c r="A8" s="7">
        <v>50</v>
      </c>
      <c r="B8" s="8">
        <v>75</v>
      </c>
      <c r="C8" s="9">
        <v>66.666666666666657</v>
      </c>
      <c r="D8" s="10">
        <v>50</v>
      </c>
      <c r="E8" s="11">
        <v>66.666666666666657</v>
      </c>
      <c r="F8" s="8">
        <v>60</v>
      </c>
      <c r="G8" s="9">
        <f t="shared" si="0"/>
        <v>50</v>
      </c>
      <c r="H8" s="10">
        <v>33.333333333333329</v>
      </c>
      <c r="I8" s="10">
        <v>25</v>
      </c>
    </row>
    <row r="9" spans="1:9" x14ac:dyDescent="0.55000000000000004">
      <c r="A9" s="7">
        <v>60</v>
      </c>
      <c r="B9" s="8">
        <v>80</v>
      </c>
      <c r="C9" s="9">
        <v>71.428571428571431</v>
      </c>
      <c r="D9" s="10">
        <v>50</v>
      </c>
      <c r="E9" s="11">
        <v>75</v>
      </c>
      <c r="F9" s="8">
        <v>69.230769230769226</v>
      </c>
      <c r="G9" s="9">
        <f t="shared" si="0"/>
        <v>60</v>
      </c>
      <c r="H9" s="10">
        <v>42.857142857142854</v>
      </c>
      <c r="I9" s="10">
        <v>30</v>
      </c>
    </row>
    <row r="10" spans="1:9" x14ac:dyDescent="0.55000000000000004">
      <c r="A10" s="7">
        <v>70</v>
      </c>
      <c r="B10" s="8">
        <v>85</v>
      </c>
      <c r="C10" s="9">
        <v>76.923076923076934</v>
      </c>
      <c r="D10" s="10">
        <v>50</v>
      </c>
      <c r="E10" s="11">
        <v>82.35294117647058</v>
      </c>
      <c r="F10" s="8">
        <v>77.777777777777786</v>
      </c>
      <c r="G10" s="9">
        <f t="shared" si="0"/>
        <v>70</v>
      </c>
      <c r="H10" s="10">
        <v>53.846153846153847</v>
      </c>
      <c r="I10" s="10">
        <v>35</v>
      </c>
    </row>
    <row r="11" spans="1:9" x14ac:dyDescent="0.55000000000000004">
      <c r="A11" s="7">
        <v>80</v>
      </c>
      <c r="B11" s="8">
        <v>90</v>
      </c>
      <c r="C11" s="9">
        <v>83.333333333333343</v>
      </c>
      <c r="D11" s="10">
        <v>50</v>
      </c>
      <c r="E11" s="11">
        <v>88.888888888888886</v>
      </c>
      <c r="F11" s="8">
        <v>85.714285714285708</v>
      </c>
      <c r="G11" s="9">
        <f t="shared" si="0"/>
        <v>80</v>
      </c>
      <c r="H11" s="10">
        <v>66.666666666666657</v>
      </c>
      <c r="I11" s="10">
        <v>40</v>
      </c>
    </row>
    <row r="12" spans="1:9" x14ac:dyDescent="0.55000000000000004">
      <c r="A12" s="7">
        <v>90</v>
      </c>
      <c r="B12" s="8">
        <v>95</v>
      </c>
      <c r="C12" s="9">
        <v>90.909090909090907</v>
      </c>
      <c r="D12" s="10">
        <v>50</v>
      </c>
      <c r="E12" s="11">
        <v>94.73684210526315</v>
      </c>
      <c r="F12" s="8">
        <v>93.103448275862064</v>
      </c>
      <c r="G12" s="9">
        <f t="shared" si="0"/>
        <v>90</v>
      </c>
      <c r="H12" s="10">
        <v>81.818181818181827</v>
      </c>
      <c r="I12" s="10">
        <v>45</v>
      </c>
    </row>
    <row r="13" spans="1:9" x14ac:dyDescent="0.55000000000000004">
      <c r="A13" s="12">
        <v>100</v>
      </c>
      <c r="B13" s="13">
        <v>100</v>
      </c>
      <c r="C13" s="14">
        <v>100</v>
      </c>
      <c r="D13" s="15">
        <v>50</v>
      </c>
      <c r="E13" s="16">
        <v>100</v>
      </c>
      <c r="F13" s="13">
        <v>100</v>
      </c>
      <c r="G13" s="14">
        <f t="shared" si="0"/>
        <v>100</v>
      </c>
      <c r="H13" s="15">
        <v>100</v>
      </c>
      <c r="I13" s="15">
        <v>50</v>
      </c>
    </row>
  </sheetData>
  <mergeCells count="3">
    <mergeCell ref="A1:A2"/>
    <mergeCell ref="B1:D1"/>
    <mergeCell ref="E1:I1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VAF-TC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友子 上田</dc:creator>
  <cp:lastModifiedBy>友子 上田</cp:lastModifiedBy>
  <dcterms:created xsi:type="dcterms:W3CDTF">2026-03-31T00:33:13Z</dcterms:created>
  <dcterms:modified xsi:type="dcterms:W3CDTF">2026-03-31T01:42:40Z</dcterms:modified>
</cp:coreProperties>
</file>